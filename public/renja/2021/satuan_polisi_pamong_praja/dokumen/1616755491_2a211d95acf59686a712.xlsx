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BAPPEDA\Downloads\"/>
    </mc:Choice>
  </mc:AlternateContent>
  <xr:revisionPtr revIDLastSave="0" documentId="13_ncr:1_{5A9C38A0-5E82-4B28-B293-E4C21F88280D}" xr6:coauthVersionLast="45" xr6:coauthVersionMax="45" xr10:uidLastSave="{00000000-0000-0000-0000-000000000000}"/>
  <bookViews>
    <workbookView xWindow="-110" yWindow="-110" windowWidth="19420" windowHeight="10420" tabRatio="849" activeTab="1" xr2:uid="{00000000-000D-0000-FFFF-FFFF00000000}"/>
  </bookViews>
  <sheets>
    <sheet name="COVID 2020 (All)" sheetId="22" r:id="rId1"/>
    <sheet name="Sheet1" sheetId="23" r:id="rId2"/>
  </sheets>
  <definedNames>
    <definedName name="_xlnm._FilterDatabase" localSheetId="0" hidden="1">'COVID 2020 (All)'!$A$7:$O$46</definedName>
    <definedName name="_xlnm.Print_Area" localSheetId="0">'COVID 2020 (All)'!$A$1:$O$45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" i="23" l="1"/>
  <c r="D7" i="23" l="1"/>
  <c r="D29" i="22"/>
  <c r="D11" i="22"/>
  <c r="E11" i="22"/>
  <c r="F11" i="22" s="1"/>
  <c r="I11" i="22"/>
  <c r="L11" i="22"/>
  <c r="O11" i="22"/>
  <c r="D12" i="22"/>
  <c r="E12" i="22"/>
  <c r="I12" i="22"/>
  <c r="L12" i="22"/>
  <c r="O12" i="22"/>
  <c r="D13" i="22"/>
  <c r="F13" i="22" s="1"/>
  <c r="E13" i="22"/>
  <c r="I13" i="22"/>
  <c r="L13" i="22"/>
  <c r="O13" i="22"/>
  <c r="D14" i="22"/>
  <c r="E14" i="22"/>
  <c r="F14" i="22" s="1"/>
  <c r="I14" i="22"/>
  <c r="L14" i="22"/>
  <c r="O14" i="22"/>
  <c r="D15" i="22"/>
  <c r="E15" i="22"/>
  <c r="F15" i="22" s="1"/>
  <c r="I15" i="22"/>
  <c r="L15" i="22"/>
  <c r="O15" i="22"/>
  <c r="D16" i="22"/>
  <c r="E16" i="22"/>
  <c r="I16" i="22"/>
  <c r="L16" i="22"/>
  <c r="O16" i="22"/>
  <c r="D17" i="22"/>
  <c r="E17" i="22"/>
  <c r="I17" i="22"/>
  <c r="L17" i="22"/>
  <c r="O17" i="22"/>
  <c r="D18" i="22"/>
  <c r="E18" i="22"/>
  <c r="I18" i="22"/>
  <c r="L18" i="22"/>
  <c r="O18" i="22"/>
  <c r="D19" i="22"/>
  <c r="F19" i="22" s="1"/>
  <c r="E19" i="22"/>
  <c r="I19" i="22"/>
  <c r="L19" i="22"/>
  <c r="O19" i="22"/>
  <c r="D20" i="22"/>
  <c r="E20" i="22"/>
  <c r="F20" i="22"/>
  <c r="I20" i="22"/>
  <c r="L20" i="22"/>
  <c r="O20" i="22"/>
  <c r="D21" i="22"/>
  <c r="E21" i="22"/>
  <c r="I21" i="22"/>
  <c r="L21" i="22"/>
  <c r="O21" i="22"/>
  <c r="D22" i="22"/>
  <c r="F22" i="22" s="1"/>
  <c r="E22" i="22"/>
  <c r="I22" i="22"/>
  <c r="L22" i="22"/>
  <c r="O22" i="22"/>
  <c r="D23" i="22"/>
  <c r="E23" i="22"/>
  <c r="I23" i="22"/>
  <c r="L23" i="22"/>
  <c r="O23" i="22"/>
  <c r="D24" i="22"/>
  <c r="E24" i="22"/>
  <c r="F24" i="22" s="1"/>
  <c r="I24" i="22"/>
  <c r="L24" i="22"/>
  <c r="O24" i="22"/>
  <c r="D25" i="22"/>
  <c r="E25" i="22"/>
  <c r="F25" i="22" s="1"/>
  <c r="I25" i="22"/>
  <c r="L25" i="22"/>
  <c r="O25" i="22"/>
  <c r="D26" i="22"/>
  <c r="E26" i="22"/>
  <c r="I26" i="22"/>
  <c r="L26" i="22"/>
  <c r="O26" i="22"/>
  <c r="D27" i="22"/>
  <c r="E27" i="22"/>
  <c r="I27" i="22"/>
  <c r="L27" i="22"/>
  <c r="O27" i="22"/>
  <c r="D28" i="22"/>
  <c r="F28" i="22" s="1"/>
  <c r="E28" i="22"/>
  <c r="I28" i="22"/>
  <c r="L28" i="22"/>
  <c r="O28" i="22"/>
  <c r="E29" i="22"/>
  <c r="I29" i="22"/>
  <c r="L29" i="22"/>
  <c r="O29" i="22"/>
  <c r="D30" i="22"/>
  <c r="E30" i="22"/>
  <c r="I30" i="22"/>
  <c r="L30" i="22"/>
  <c r="O30" i="22"/>
  <c r="D31" i="22"/>
  <c r="E31" i="22"/>
  <c r="F31" i="22" s="1"/>
  <c r="I31" i="22"/>
  <c r="L31" i="22"/>
  <c r="O31" i="22"/>
  <c r="D32" i="22"/>
  <c r="E32" i="22"/>
  <c r="I32" i="22"/>
  <c r="L32" i="22"/>
  <c r="O32" i="22"/>
  <c r="D33" i="22"/>
  <c r="F33" i="22" s="1"/>
  <c r="E33" i="22"/>
  <c r="I33" i="22"/>
  <c r="L33" i="22"/>
  <c r="O33" i="22"/>
  <c r="D34" i="22"/>
  <c r="E34" i="22"/>
  <c r="F34" i="22" s="1"/>
  <c r="I34" i="22"/>
  <c r="L34" i="22"/>
  <c r="O34" i="22"/>
  <c r="D35" i="22"/>
  <c r="E35" i="22"/>
  <c r="I35" i="22"/>
  <c r="L35" i="22"/>
  <c r="O35" i="22"/>
  <c r="D36" i="22"/>
  <c r="E36" i="22"/>
  <c r="F36" i="22" s="1"/>
  <c r="I36" i="22"/>
  <c r="L36" i="22"/>
  <c r="O36" i="22"/>
  <c r="D37" i="22"/>
  <c r="E37" i="22"/>
  <c r="F37" i="22" s="1"/>
  <c r="I37" i="22"/>
  <c r="L37" i="22"/>
  <c r="O37" i="22"/>
  <c r="D38" i="22"/>
  <c r="F38" i="22" s="1"/>
  <c r="E38" i="22"/>
  <c r="I38" i="22"/>
  <c r="L38" i="22"/>
  <c r="O38" i="22"/>
  <c r="D39" i="22"/>
  <c r="E39" i="22"/>
  <c r="F39" i="22" s="1"/>
  <c r="I39" i="22"/>
  <c r="L39" i="22"/>
  <c r="O39" i="22"/>
  <c r="D40" i="22"/>
  <c r="F40" i="22" s="1"/>
  <c r="E40" i="22"/>
  <c r="I40" i="22"/>
  <c r="L40" i="22"/>
  <c r="O40" i="22"/>
  <c r="D41" i="22"/>
  <c r="E41" i="22"/>
  <c r="I41" i="22"/>
  <c r="L41" i="22"/>
  <c r="O41" i="22"/>
  <c r="D42" i="22"/>
  <c r="E42" i="22"/>
  <c r="I42" i="22"/>
  <c r="L42" i="22"/>
  <c r="O42" i="22"/>
  <c r="D43" i="22"/>
  <c r="E43" i="22"/>
  <c r="F43" i="22" s="1"/>
  <c r="I43" i="22"/>
  <c r="L43" i="22"/>
  <c r="O43" i="22"/>
  <c r="D44" i="22"/>
  <c r="E44" i="22"/>
  <c r="F44" i="22"/>
  <c r="I44" i="22"/>
  <c r="L44" i="22"/>
  <c r="O44" i="22"/>
  <c r="D45" i="22"/>
  <c r="E45" i="22"/>
  <c r="I45" i="22"/>
  <c r="L45" i="22"/>
  <c r="O45" i="22"/>
  <c r="D46" i="22"/>
  <c r="F46" i="22" s="1"/>
  <c r="E46" i="22"/>
  <c r="I46" i="22"/>
  <c r="L46" i="22"/>
  <c r="O46" i="22"/>
  <c r="D8" i="22"/>
  <c r="E8" i="22"/>
  <c r="F8" i="22" s="1"/>
  <c r="I8" i="22"/>
  <c r="L8" i="22"/>
  <c r="O8" i="22"/>
  <c r="F35" i="22"/>
  <c r="F42" i="22"/>
  <c r="F26" i="22"/>
  <c r="F18" i="22"/>
  <c r="F45" i="22"/>
  <c r="F12" i="22"/>
  <c r="F41" i="22"/>
  <c r="F29" i="22"/>
  <c r="F32" i="22"/>
  <c r="F30" i="22"/>
  <c r="F27" i="22"/>
  <c r="F23" i="22"/>
  <c r="F21" i="22"/>
  <c r="F17" i="22"/>
  <c r="F16" i="22"/>
  <c r="O10" i="22"/>
  <c r="L10" i="22"/>
  <c r="I10" i="22"/>
  <c r="E10" i="22"/>
  <c r="D10" i="22"/>
  <c r="O9" i="22"/>
  <c r="L9" i="22"/>
  <c r="I9" i="22"/>
  <c r="E9" i="22"/>
  <c r="F9" i="22" s="1"/>
  <c r="D9" i="22"/>
  <c r="F10" i="22"/>
  <c r="B10" i="22"/>
  <c r="B11" i="22"/>
  <c r="B12" i="22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A10" i="22"/>
  <c r="A11" i="22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</calcChain>
</file>

<file path=xl/sharedStrings.xml><?xml version="1.0" encoding="utf-8"?>
<sst xmlns="http://schemas.openxmlformats.org/spreadsheetml/2006/main" count="63" uniqueCount="54">
  <si>
    <t>Prov. 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</si>
  <si>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</si>
  <si>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</si>
  <si>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</si>
  <si>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</si>
  <si>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</si>
  <si>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</si>
  <si>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</si>
  <si>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</si>
  <si>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</si>
  <si>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</si>
  <si>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</si>
  <si>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</si>
  <si>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</si>
  <si>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</si>
  <si>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</si>
  <si>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</si>
  <si>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</si>
  <si>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</si>
  <si>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</si>
  <si>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</si>
  <si>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</si>
  <si>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</si>
  <si>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</si>
  <si>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</si>
  <si>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</si>
  <si>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</si>
  <si>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</si>
  <si>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</si>
  <si>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</si>
  <si>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</si>
  <si>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</si>
  <si>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</si>
  <si>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</si>
  <si>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</si>
  <si>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</si>
  <si>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</si>
  <si>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</si>
  <si>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NO.</t>
  </si>
  <si>
    <t>DAERAH</t>
  </si>
  <si>
    <t>XVI</t>
  </si>
  <si>
    <t>Kab. Mojokerto</t>
  </si>
  <si>
    <t>ANGGARAN</t>
  </si>
  <si>
    <t>REALISASI</t>
  </si>
  <si>
    <t>%</t>
  </si>
  <si>
    <t>PENCEGAHAN DAN/ATAU PENANGANAN COVID-19</t>
  </si>
  <si>
    <t>BELANJA BIDANG KESEHATAN</t>
  </si>
  <si>
    <t>PENYEDIAAN JARING PENGAMANAN SOSIAL/SOCIAL SAFETY NET</t>
  </si>
  <si>
    <t>PENANGANAN DAMPAK EKONOMI</t>
  </si>
  <si>
    <t>5=4/3</t>
  </si>
  <si>
    <t>8=7/6</t>
  </si>
  <si>
    <t>11=10/9</t>
  </si>
  <si>
    <t>14=13/12</t>
  </si>
  <si>
    <t xml:space="preserve"> REALISASI COVID 19 (per 25 Agustus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</si>
</sst>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#,##0.00_ ;[Red]\-#,##0.00\ "/>
    <numFmt numFmtId="167" formatCode="#,##0_ ;[Red]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MS Sans Serif"/>
      <family val="2"/>
    </font>
    <font>
      <b/>
      <sz val="11"/>
      <name val="Calibri"/>
      <family val="2"/>
    </font>
    <font>
      <b/>
      <sz val="24"/>
      <color rgb="FFFF0000"/>
      <name val="Cambria"/>
      <family val="1"/>
      <scheme val="major"/>
    </font>
    <font>
      <b/>
      <sz val="11"/>
      <color theme="1"/>
      <name val="Calibri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4" fillId="0" borderId="0"/>
    <xf numFmtId="0" fontId="8" fillId="0" borderId="0">
      <alignment vertical="top"/>
    </xf>
    <xf numFmtId="0" fontId="9" fillId="5" borderId="0">
      <alignment horizontal="right" vertical="top"/>
    </xf>
    <xf numFmtId="0" fontId="10" fillId="0" borderId="0"/>
    <xf numFmtId="164" fontId="1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167" fontId="2" fillId="0" borderId="2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/>
    </xf>
    <xf numFmtId="166" fontId="5" fillId="0" borderId="14" xfId="2" applyNumberFormat="1" applyFont="1" applyBorder="1" applyAlignment="1">
      <alignment horizontal="center" vertical="center"/>
    </xf>
    <xf numFmtId="166" fontId="5" fillId="3" borderId="14" xfId="2" applyNumberFormat="1" applyFont="1" applyFill="1" applyBorder="1" applyAlignment="1">
      <alignment horizontal="center" vertical="center"/>
    </xf>
    <xf numFmtId="167" fontId="5" fillId="0" borderId="1" xfId="2" applyNumberFormat="1" applyFont="1" applyBorder="1" applyAlignment="1">
      <alignment horizontal="center" vertical="center"/>
    </xf>
    <xf numFmtId="167" fontId="5" fillId="0" borderId="4" xfId="2" applyNumberFormat="1" applyFont="1" applyBorder="1" applyAlignment="1">
      <alignment horizontal="center" vertical="center"/>
    </xf>
    <xf numFmtId="167" fontId="5" fillId="0" borderId="4" xfId="2" applyNumberFormat="1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166" fontId="3" fillId="4" borderId="9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left" vertical="center"/>
    </xf>
    <xf numFmtId="40" fontId="3" fillId="4" borderId="1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6" fontId="2" fillId="0" borderId="3" xfId="0" applyNumberFormat="1" applyFont="1" applyBorder="1" applyAlignment="1">
      <alignment horizontal="left" vertical="center"/>
    </xf>
    <xf numFmtId="40" fontId="2" fillId="0" borderId="3" xfId="1" applyNumberFormat="1" applyFont="1" applyBorder="1" applyAlignment="1">
      <alignment horizontal="right" vertical="center"/>
    </xf>
    <xf numFmtId="40" fontId="3" fillId="4" borderId="1" xfId="1" applyNumberFormat="1" applyFont="1" applyFill="1" applyBorder="1" applyAlignment="1">
      <alignment horizontal="center" vertical="center"/>
    </xf>
    <xf numFmtId="40" fontId="2" fillId="0" borderId="3" xfId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0" fontId="2" fillId="0" borderId="0" xfId="1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7" fontId="3" fillId="4" borderId="1" xfId="0" applyNumberFormat="1" applyFont="1" applyFill="1" applyBorder="1" applyAlignment="1">
      <alignment horizontal="center" vertical="center"/>
    </xf>
    <xf numFmtId="40" fontId="3" fillId="4" borderId="20" xfId="1" applyNumberFormat="1" applyFont="1" applyFill="1" applyBorder="1" applyAlignment="1">
      <alignment horizontal="center" vertical="center"/>
    </xf>
    <xf numFmtId="40" fontId="2" fillId="0" borderId="21" xfId="1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left" vertical="center"/>
    </xf>
    <xf numFmtId="40" fontId="2" fillId="0" borderId="8" xfId="1" applyNumberFormat="1" applyFont="1" applyBorder="1" applyAlignment="1">
      <alignment horizontal="right" vertical="center"/>
    </xf>
    <xf numFmtId="40" fontId="2" fillId="0" borderId="8" xfId="1" applyNumberFormat="1" applyFont="1" applyBorder="1" applyAlignment="1">
      <alignment horizontal="center" vertical="center"/>
    </xf>
    <xf numFmtId="40" fontId="2" fillId="0" borderId="22" xfId="1" applyNumberFormat="1" applyFont="1" applyBorder="1" applyAlignment="1">
      <alignment horizontal="center" vertical="center"/>
    </xf>
    <xf numFmtId="167" fontId="2" fillId="6" borderId="2" xfId="0" applyNumberFormat="1" applyFont="1" applyFill="1" applyBorder="1" applyAlignment="1">
      <alignment horizontal="center" vertical="center"/>
    </xf>
    <xf numFmtId="167" fontId="2" fillId="6" borderId="3" xfId="0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horizontal="left" vertical="center"/>
    </xf>
    <xf numFmtId="40" fontId="2" fillId="6" borderId="3" xfId="1" applyNumberFormat="1" applyFont="1" applyFill="1" applyBorder="1" applyAlignment="1">
      <alignment horizontal="right" vertical="center"/>
    </xf>
    <xf numFmtId="40" fontId="2" fillId="6" borderId="3" xfId="1" applyNumberFormat="1" applyFont="1" applyFill="1" applyBorder="1" applyAlignment="1">
      <alignment horizontal="center" vertical="center"/>
    </xf>
    <xf numFmtId="40" fontId="2" fillId="6" borderId="2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7" fontId="5" fillId="0" borderId="6" xfId="2" applyNumberFormat="1" applyFont="1" applyBorder="1" applyAlignment="1">
      <alignment horizontal="center" vertical="center"/>
    </xf>
    <xf numFmtId="167" fontId="5" fillId="0" borderId="5" xfId="2" applyNumberFormat="1" applyFont="1" applyBorder="1" applyAlignment="1">
      <alignment horizontal="center" vertical="center"/>
    </xf>
    <xf numFmtId="166" fontId="5" fillId="0" borderId="18" xfId="2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166" fontId="5" fillId="0" borderId="15" xfId="2" applyNumberFormat="1" applyFont="1" applyBorder="1" applyAlignment="1">
      <alignment horizontal="center" vertical="center"/>
    </xf>
    <xf numFmtId="166" fontId="5" fillId="0" borderId="18" xfId="2" applyNumberFormat="1" applyFont="1" applyBorder="1" applyAlignment="1">
      <alignment horizontal="center" vertical="center" wrapText="1"/>
    </xf>
    <xf numFmtId="166" fontId="5" fillId="0" borderId="19" xfId="2" applyNumberFormat="1" applyFont="1" applyBorder="1" applyAlignment="1">
      <alignment horizontal="center" vertical="center" wrapText="1"/>
    </xf>
    <xf numFmtId="166" fontId="5" fillId="0" borderId="15" xfId="2" applyNumberFormat="1" applyFont="1" applyBorder="1" applyAlignment="1">
      <alignment horizontal="center" vertical="center" wrapText="1"/>
    </xf>
    <xf numFmtId="166" fontId="5" fillId="3" borderId="18" xfId="2" applyNumberFormat="1" applyFont="1" applyFill="1" applyBorder="1" applyAlignment="1">
      <alignment horizontal="center" vertical="center"/>
    </xf>
    <xf numFmtId="166" fontId="5" fillId="3" borderId="19" xfId="2" applyNumberFormat="1" applyFont="1" applyFill="1" applyBorder="1" applyAlignment="1">
      <alignment horizontal="center" vertical="center"/>
    </xf>
    <xf numFmtId="166" fontId="5" fillId="3" borderId="15" xfId="2" applyNumberFormat="1" applyFont="1" applyFill="1" applyBorder="1" applyAlignment="1">
      <alignment horizontal="center" vertical="center"/>
    </xf>
    <xf numFmtId="166" fontId="5" fillId="2" borderId="12" xfId="2" applyNumberFormat="1" applyFont="1" applyFill="1" applyBorder="1" applyAlignment="1">
      <alignment horizontal="center" vertical="center"/>
    </xf>
    <xf numFmtId="166" fontId="5" fillId="2" borderId="13" xfId="2" applyNumberFormat="1" applyFont="1" applyFill="1" applyBorder="1" applyAlignment="1">
      <alignment horizontal="center" vertical="center"/>
    </xf>
    <xf numFmtId="166" fontId="5" fillId="2" borderId="16" xfId="2" applyNumberFormat="1" applyFont="1" applyFill="1" applyBorder="1" applyAlignment="1">
      <alignment horizontal="center" vertical="center"/>
    </xf>
    <xf numFmtId="166" fontId="5" fillId="2" borderId="17" xfId="2" applyNumberFormat="1" applyFont="1" applyFill="1" applyBorder="1" applyAlignment="1">
      <alignment horizontal="center" vertical="center"/>
    </xf>
    <xf numFmtId="166" fontId="5" fillId="2" borderId="10" xfId="2" applyNumberFormat="1" applyFont="1" applyFill="1" applyBorder="1" applyAlignment="1">
      <alignment horizontal="center" vertical="center"/>
    </xf>
    <xf numFmtId="166" fontId="5" fillId="2" borderId="11" xfId="2" applyNumberFormat="1" applyFont="1" applyFill="1" applyBorder="1" applyAlignment="1">
      <alignment horizontal="center" vertical="center"/>
    </xf>
    <xf numFmtId="41" fontId="0" fillId="0" borderId="0" xfId="7" applyFont="1"/>
  </cellXfs>
  <cellStyles count="8">
    <cellStyle name="Comma" xfId="1" builtinId="3"/>
    <cellStyle name="Comma [0]" xfId="7" builtinId="6"/>
    <cellStyle name="Comma [0] 2" xfId="6" xr:uid="{00000000-0005-0000-0000-000001000000}"/>
    <cellStyle name="Normal" xfId="0" builtinId="0"/>
    <cellStyle name="Normal 2" xfId="3" xr:uid="{00000000-0005-0000-0000-000003000000}"/>
    <cellStyle name="Normal 2 2" xfId="2" xr:uid="{00000000-0005-0000-0000-000004000000}"/>
    <cellStyle name="Normal 3" xfId="5" xr:uid="{00000000-0005-0000-0000-000005000000}"/>
    <cellStyle name="S17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09611898949311"/>
          <c:y val="4.2780748663101602E-2"/>
          <c:w val="0.5783777464498161"/>
          <c:h val="0.95721925133689845"/>
        </c:manualLayout>
      </c:layout>
      <c:doughnutChart>
        <c:varyColors val="1"/>
        <c:ser>
          <c:idx val="0"/>
          <c:order val="0"/>
          <c:dPt>
            <c:idx val="0"/>
            <c:bubble3D val="0"/>
            <c:explosion val="4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37B-4231-8A57-5662FC13566F}"/>
              </c:ext>
            </c:extLst>
          </c:dPt>
          <c:dPt>
            <c:idx val="1"/>
            <c:bubble3D val="0"/>
            <c:explosion val="6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37B-4231-8A57-5662FC13566F}"/>
              </c:ext>
            </c:extLst>
          </c:dPt>
          <c:dPt>
            <c:idx val="2"/>
            <c:bubble3D val="0"/>
            <c:explosion val="6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7B-4231-8A57-5662FC13566F}"/>
              </c:ext>
            </c:extLst>
          </c:dPt>
          <c:dLbls>
            <c:delete val="1"/>
          </c:dLbls>
          <c:val>
            <c:numRef>
              <c:f>Sheet1!$D$4:$D$6</c:f>
              <c:numCache>
                <c:formatCode>_(* #,##0_);_(* \(#,##0\);_(* "-"_);_(@_)</c:formatCode>
                <c:ptCount val="3"/>
                <c:pt idx="0">
                  <c:v>42256597100</c:v>
                </c:pt>
                <c:pt idx="1">
                  <c:v>3769434000</c:v>
                </c:pt>
                <c:pt idx="2">
                  <c:v>35073784300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B-4231-8A57-5662FC13566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111124</xdr:colOff>
      <xdr:row>2</xdr:row>
      <xdr:rowOff>19050</xdr:rowOff>
    </xdr:from>
    <xdr:to>
      <xdr:col>13</xdr:col>
      <xdr:colOff>323849</xdr:colOff>
      <xdr:row>18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E76E4-1AF1-4CE9-A6C7-D09C8B349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view="pageBreakPreview" zoomScale="70" zoomScaleNormal="70" zoomScaleSheetLayoutView="70" zoomScalePageLayoutView="70" workbookViewId="0">
      <selection activeCell="G13" sqref="G13"/>
    </sheetView>
  </sheetViews>
  <sheetFormatPr defaultColWidth="8.81640625" defaultRowHeight="14" x14ac:dyDescent="0.35"/>
  <cols>
    <col min="1" max="2" width="9.26953125" style="16" bestFit="1" customWidth="1"/>
    <col min="3" max="3" width="50" style="21" bestFit="1" customWidth="1"/>
    <col min="4" max="5" width="31.453125" style="22" customWidth="1"/>
    <col min="6" max="6" width="9.54296875" style="22" customWidth="1"/>
    <col min="7" max="7" width="28.81640625" style="22" customWidth="1"/>
    <col min="8" max="8" width="29.453125" style="22" customWidth="1"/>
    <col min="9" max="9" width="9.54296875" style="22" customWidth="1"/>
    <col min="10" max="10" width="31" style="22" customWidth="1"/>
    <col min="11" max="11" width="29.453125" style="22" customWidth="1"/>
    <col min="12" max="12" width="9.54296875" style="22" customWidth="1"/>
    <col min="13" max="13" width="31" style="22" customWidth="1"/>
    <col min="14" max="14" width="29.453125" style="22" customWidth="1"/>
    <col min="15" max="15" width="9.54296875" style="22" customWidth="1"/>
    <col min="16" max="16384" width="8.81640625" style="16"/>
  </cols>
  <sheetData>
    <row r="1" spans="1:15" ht="30" x14ac:dyDescent="0.35">
      <c r="A1" s="2" t="s">
        <v>53</v>
      </c>
      <c r="B1" s="2"/>
    </row>
    <row r="2" spans="1:15" ht="30" x14ac:dyDescent="0.35">
      <c r="A2" s="2"/>
      <c r="B2" s="2"/>
    </row>
    <row r="3" spans="1:15" ht="14.5" thickBot="1" x14ac:dyDescent="0.4"/>
    <row r="4" spans="1:15" s="23" customFormat="1" ht="45.75" customHeight="1" thickBot="1" x14ac:dyDescent="0.4">
      <c r="A4" s="52" t="s">
        <v>38</v>
      </c>
      <c r="B4" s="53"/>
      <c r="C4" s="56" t="s">
        <v>39</v>
      </c>
      <c r="D4" s="49" t="s">
        <v>45</v>
      </c>
      <c r="E4" s="50"/>
      <c r="F4" s="51"/>
      <c r="G4" s="43" t="s">
        <v>46</v>
      </c>
      <c r="H4" s="44"/>
      <c r="I4" s="45"/>
      <c r="J4" s="43" t="s">
        <v>47</v>
      </c>
      <c r="K4" s="44"/>
      <c r="L4" s="45"/>
      <c r="M4" s="46" t="s">
        <v>48</v>
      </c>
      <c r="N4" s="47"/>
      <c r="O4" s="48"/>
    </row>
    <row r="5" spans="1:15" s="23" customFormat="1" ht="15" thickBot="1" x14ac:dyDescent="0.4">
      <c r="A5" s="54"/>
      <c r="B5" s="55"/>
      <c r="C5" s="57"/>
      <c r="D5" s="7" t="s">
        <v>42</v>
      </c>
      <c r="E5" s="7" t="s">
        <v>43</v>
      </c>
      <c r="F5" s="7" t="s">
        <v>44</v>
      </c>
      <c r="G5" s="6" t="s">
        <v>42</v>
      </c>
      <c r="H5" s="6" t="s">
        <v>43</v>
      </c>
      <c r="I5" s="6" t="s">
        <v>44</v>
      </c>
      <c r="J5" s="6" t="s">
        <v>42</v>
      </c>
      <c r="K5" s="6" t="s">
        <v>43</v>
      </c>
      <c r="L5" s="6" t="s">
        <v>44</v>
      </c>
      <c r="M5" s="6" t="s">
        <v>42</v>
      </c>
      <c r="N5" s="6" t="s">
        <v>43</v>
      </c>
      <c r="O5" s="6" t="s">
        <v>44</v>
      </c>
    </row>
    <row r="6" spans="1:15" s="4" customFormat="1" ht="15" customHeight="1" x14ac:dyDescent="0.35">
      <c r="A6" s="41">
        <v>1</v>
      </c>
      <c r="B6" s="42"/>
      <c r="C6" s="8">
        <v>2</v>
      </c>
      <c r="D6" s="10">
        <v>3</v>
      </c>
      <c r="E6" s="10">
        <v>4</v>
      </c>
      <c r="F6" s="9" t="s">
        <v>49</v>
      </c>
      <c r="G6" s="10">
        <v>6</v>
      </c>
      <c r="H6" s="9">
        <v>7</v>
      </c>
      <c r="I6" s="9" t="s">
        <v>50</v>
      </c>
      <c r="J6" s="9">
        <v>9</v>
      </c>
      <c r="K6" s="9">
        <v>10</v>
      </c>
      <c r="L6" s="9" t="s">
        <v>51</v>
      </c>
      <c r="M6" s="9">
        <v>12</v>
      </c>
      <c r="N6" s="9">
        <v>13</v>
      </c>
      <c r="O6" s="9" t="s">
        <v>52</v>
      </c>
    </row>
    <row r="7" spans="1:15" s="24" customFormat="1" ht="15" customHeight="1" thickBot="1" x14ac:dyDescent="0.4">
      <c r="A7" s="11"/>
      <c r="B7" s="11"/>
      <c r="C7" s="12"/>
      <c r="D7" s="12">
        <v>2020</v>
      </c>
      <c r="E7" s="12">
        <v>2020</v>
      </c>
      <c r="F7" s="12">
        <v>2020</v>
      </c>
      <c r="G7" s="12">
        <v>2020</v>
      </c>
      <c r="H7" s="12">
        <v>2020</v>
      </c>
      <c r="I7" s="12">
        <v>2020</v>
      </c>
      <c r="J7" s="12">
        <v>2020</v>
      </c>
      <c r="K7" s="12">
        <v>2020</v>
      </c>
      <c r="L7" s="12">
        <v>2020</v>
      </c>
      <c r="M7" s="12">
        <v>2020</v>
      </c>
      <c r="N7" s="12">
        <v>2020</v>
      </c>
      <c r="O7" s="12">
        <v>2020</v>
      </c>
    </row>
    <row r="8" spans="1:15" s="1" customFormat="1" ht="15" customHeight="1" x14ac:dyDescent="0.35">
      <c r="A8" s="13" t="s">
        <v>40</v>
      </c>
      <c r="B8" s="25">
        <v>16</v>
      </c>
      <c r="C8" s="14" t="s">
        <v>0</v>
      </c>
      <c r="D8" s="15">
        <f t="shared" ref="D8:D46" si="0">G8+J8+M8</f>
        <v>0</v>
      </c>
      <c r="E8" s="15">
        <f t="shared" ref="E8:E46" si="1">H8+K8+N8</f>
        <v>0</v>
      </c>
      <c r="F8" s="19">
        <f t="shared" ref="F8:F28" si="2">IFERROR((E8/D8)*100,0)</f>
        <v>0</v>
      </c>
      <c r="G8" s="15">
        <v>0</v>
      </c>
      <c r="H8" s="15">
        <v>0</v>
      </c>
      <c r="I8" s="19">
        <f t="shared" ref="I8:I28" si="3">IFERROR((H8/G8)*100,0)</f>
        <v>0</v>
      </c>
      <c r="J8" s="15">
        <v>0</v>
      </c>
      <c r="K8" s="15">
        <v>0</v>
      </c>
      <c r="L8" s="19">
        <f t="shared" ref="L8:L28" si="4">IFERROR((K8/J8)*100,0)</f>
        <v>0</v>
      </c>
      <c r="M8" s="15">
        <v>0</v>
      </c>
      <c r="N8" s="15">
        <v>0</v>
      </c>
      <c r="O8" s="26">
        <f t="shared" ref="O8:O28" si="5">IFERROR((N8/M8)*100,0)</f>
        <v>0</v>
      </c>
    </row>
    <row r="9" spans="1:15" s="1" customFormat="1" ht="15" customHeight="1" x14ac:dyDescent="0.35">
      <c r="A9" s="3">
        <v>1</v>
      </c>
      <c r="B9" s="5">
        <v>1</v>
      </c>
      <c r="C9" s="17" t="s">
        <v>1</v>
      </c>
      <c r="D9" s="18">
        <f t="shared" si="0"/>
        <v>0</v>
      </c>
      <c r="E9" s="18">
        <f t="shared" si="1"/>
        <v>0</v>
      </c>
      <c r="F9" s="20">
        <f t="shared" si="2"/>
        <v>0</v>
      </c>
      <c r="G9" s="18">
        <v>0</v>
      </c>
      <c r="H9" s="18">
        <v>0</v>
      </c>
      <c r="I9" s="20">
        <f t="shared" si="3"/>
        <v>0</v>
      </c>
      <c r="J9" s="18">
        <v>0</v>
      </c>
      <c r="K9" s="18">
        <v>0</v>
      </c>
      <c r="L9" s="20">
        <f t="shared" si="4"/>
        <v>0</v>
      </c>
      <c r="M9" s="18">
        <v>0</v>
      </c>
      <c r="N9" s="18">
        <v>0</v>
      </c>
      <c r="O9" s="27">
        <f t="shared" si="5"/>
        <v>0</v>
      </c>
    </row>
    <row r="10" spans="1:15" s="1" customFormat="1" ht="15" customHeight="1" x14ac:dyDescent="0.35">
      <c r="A10" s="3">
        <f t="shared" ref="A10:B25" si="6">A9+1</f>
        <v>2</v>
      </c>
      <c r="B10" s="5">
        <f t="shared" si="6"/>
        <v>2</v>
      </c>
      <c r="C10" s="17" t="s">
        <v>2</v>
      </c>
      <c r="D10" s="18">
        <f t="shared" si="0"/>
        <v>0</v>
      </c>
      <c r="E10" s="18">
        <f t="shared" si="1"/>
        <v>0</v>
      </c>
      <c r="F10" s="20">
        <f t="shared" si="2"/>
        <v>0</v>
      </c>
      <c r="G10" s="18">
        <v>0</v>
      </c>
      <c r="H10" s="18">
        <v>0</v>
      </c>
      <c r="I10" s="20">
        <f t="shared" si="3"/>
        <v>0</v>
      </c>
      <c r="J10" s="18">
        <v>0</v>
      </c>
      <c r="K10" s="18">
        <v>0</v>
      </c>
      <c r="L10" s="20">
        <f t="shared" si="4"/>
        <v>0</v>
      </c>
      <c r="M10" s="18">
        <v>0</v>
      </c>
      <c r="N10" s="18">
        <v>0</v>
      </c>
      <c r="O10" s="27">
        <f t="shared" si="5"/>
        <v>0</v>
      </c>
    </row>
    <row r="11" spans="1:15" s="1" customFormat="1" ht="15" customHeight="1" x14ac:dyDescent="0.35">
      <c r="A11" s="3">
        <f t="shared" si="6"/>
        <v>3</v>
      </c>
      <c r="B11" s="5">
        <f t="shared" si="6"/>
        <v>3</v>
      </c>
      <c r="C11" s="17" t="s">
        <v>3</v>
      </c>
      <c r="D11" s="18">
        <f t="shared" si="0"/>
        <v>0</v>
      </c>
      <c r="E11" s="18">
        <f t="shared" si="1"/>
        <v>0</v>
      </c>
      <c r="F11" s="20">
        <f t="shared" si="2"/>
        <v>0</v>
      </c>
      <c r="G11" s="18">
        <v>0</v>
      </c>
      <c r="H11" s="18">
        <v>0</v>
      </c>
      <c r="I11" s="20">
        <f t="shared" si="3"/>
        <v>0</v>
      </c>
      <c r="J11" s="18">
        <v>0</v>
      </c>
      <c r="K11" s="18">
        <v>0</v>
      </c>
      <c r="L11" s="20">
        <f t="shared" si="4"/>
        <v>0</v>
      </c>
      <c r="M11" s="18">
        <v>0</v>
      </c>
      <c r="N11" s="18">
        <v>0</v>
      </c>
      <c r="O11" s="27">
        <f t="shared" si="5"/>
        <v>0</v>
      </c>
    </row>
    <row r="12" spans="1:15" s="1" customFormat="1" ht="15" customHeight="1" x14ac:dyDescent="0.35">
      <c r="A12" s="3">
        <f t="shared" si="6"/>
        <v>4</v>
      </c>
      <c r="B12" s="5">
        <f t="shared" si="6"/>
        <v>4</v>
      </c>
      <c r="C12" s="17" t="s">
        <v>4</v>
      </c>
      <c r="D12" s="18">
        <f t="shared" si="0"/>
        <v>0</v>
      </c>
      <c r="E12" s="18">
        <f t="shared" si="1"/>
        <v>0</v>
      </c>
      <c r="F12" s="20">
        <f t="shared" si="2"/>
        <v>0</v>
      </c>
      <c r="G12" s="18">
        <v>0</v>
      </c>
      <c r="H12" s="18">
        <v>0</v>
      </c>
      <c r="I12" s="20">
        <f t="shared" si="3"/>
        <v>0</v>
      </c>
      <c r="J12" s="18">
        <v>0</v>
      </c>
      <c r="K12" s="18">
        <v>0</v>
      </c>
      <c r="L12" s="20">
        <f t="shared" si="4"/>
        <v>0</v>
      </c>
      <c r="M12" s="18">
        <v>0</v>
      </c>
      <c r="N12" s="18">
        <v>0</v>
      </c>
      <c r="O12" s="27">
        <f t="shared" si="5"/>
        <v>0</v>
      </c>
    </row>
    <row r="13" spans="1:15" s="40" customFormat="1" ht="15" customHeight="1" x14ac:dyDescent="0.35">
      <c r="A13" s="34">
        <f t="shared" si="6"/>
        <v>5</v>
      </c>
      <c r="B13" s="35">
        <f t="shared" si="6"/>
        <v>5</v>
      </c>
      <c r="C13" s="36" t="s">
        <v>5</v>
      </c>
      <c r="D13" s="37">
        <f t="shared" si="0"/>
        <v>81099815400</v>
      </c>
      <c r="E13" s="37">
        <f t="shared" si="1"/>
        <v>15382198206</v>
      </c>
      <c r="F13" s="38">
        <f t="shared" si="2"/>
        <v>18.966995337944997</v>
      </c>
      <c r="G13" s="37">
        <v>42256597100</v>
      </c>
      <c r="H13" s="37">
        <v>14165449206</v>
      </c>
      <c r="I13" s="38">
        <f t="shared" si="3"/>
        <v>33.522456085324485</v>
      </c>
      <c r="J13" s="37">
        <v>3769434000</v>
      </c>
      <c r="K13" s="37">
        <v>718734000</v>
      </c>
      <c r="L13" s="38">
        <f t="shared" si="4"/>
        <v>19.067424976800233</v>
      </c>
      <c r="M13" s="37">
        <v>35073784300</v>
      </c>
      <c r="N13" s="37">
        <v>498015000</v>
      </c>
      <c r="O13" s="39">
        <f t="shared" si="5"/>
        <v>1.4199066623101746</v>
      </c>
    </row>
    <row r="14" spans="1:15" s="1" customFormat="1" ht="15" customHeight="1" x14ac:dyDescent="0.35">
      <c r="A14" s="3">
        <f t="shared" si="6"/>
        <v>6</v>
      </c>
      <c r="B14" s="5">
        <f t="shared" si="6"/>
        <v>6</v>
      </c>
      <c r="C14" s="17" t="s">
        <v>6</v>
      </c>
      <c r="D14" s="18">
        <f t="shared" si="0"/>
        <v>0</v>
      </c>
      <c r="E14" s="18">
        <f t="shared" si="1"/>
        <v>0</v>
      </c>
      <c r="F14" s="20">
        <f t="shared" si="2"/>
        <v>0</v>
      </c>
      <c r="G14" s="18">
        <v>0</v>
      </c>
      <c r="H14" s="18">
        <v>0</v>
      </c>
      <c r="I14" s="20">
        <f t="shared" si="3"/>
        <v>0</v>
      </c>
      <c r="J14" s="18">
        <v>0</v>
      </c>
      <c r="K14" s="18">
        <v>0</v>
      </c>
      <c r="L14" s="20">
        <f t="shared" si="4"/>
        <v>0</v>
      </c>
      <c r="M14" s="18">
        <v>0</v>
      </c>
      <c r="N14" s="18">
        <v>0</v>
      </c>
      <c r="O14" s="27">
        <f t="shared" si="5"/>
        <v>0</v>
      </c>
    </row>
    <row r="15" spans="1:15" s="1" customFormat="1" ht="15" customHeight="1" x14ac:dyDescent="0.35">
      <c r="A15" s="3">
        <f t="shared" si="6"/>
        <v>7</v>
      </c>
      <c r="B15" s="5">
        <f t="shared" si="6"/>
        <v>7</v>
      </c>
      <c r="C15" s="17" t="s">
        <v>7</v>
      </c>
      <c r="D15" s="18">
        <f t="shared" si="0"/>
        <v>0</v>
      </c>
      <c r="E15" s="18">
        <f t="shared" si="1"/>
        <v>0</v>
      </c>
      <c r="F15" s="20">
        <f t="shared" si="2"/>
        <v>0</v>
      </c>
      <c r="G15" s="18">
        <v>0</v>
      </c>
      <c r="H15" s="18">
        <v>0</v>
      </c>
      <c r="I15" s="20">
        <f t="shared" si="3"/>
        <v>0</v>
      </c>
      <c r="J15" s="18">
        <v>0</v>
      </c>
      <c r="K15" s="18">
        <v>0</v>
      </c>
      <c r="L15" s="20">
        <f t="shared" si="4"/>
        <v>0</v>
      </c>
      <c r="M15" s="18">
        <v>0</v>
      </c>
      <c r="N15" s="18">
        <v>0</v>
      </c>
      <c r="O15" s="27">
        <f t="shared" si="5"/>
        <v>0</v>
      </c>
    </row>
    <row r="16" spans="1:15" s="1" customFormat="1" ht="15" customHeight="1" x14ac:dyDescent="0.35">
      <c r="A16" s="3">
        <f t="shared" si="6"/>
        <v>8</v>
      </c>
      <c r="B16" s="5">
        <f t="shared" si="6"/>
        <v>8</v>
      </c>
      <c r="C16" s="17" t="s">
        <v>8</v>
      </c>
      <c r="D16" s="18">
        <f t="shared" si="0"/>
        <v>0</v>
      </c>
      <c r="E16" s="18">
        <f t="shared" si="1"/>
        <v>0</v>
      </c>
      <c r="F16" s="20">
        <f t="shared" si="2"/>
        <v>0</v>
      </c>
      <c r="G16" s="18">
        <v>0</v>
      </c>
      <c r="H16" s="18">
        <v>0</v>
      </c>
      <c r="I16" s="20">
        <f t="shared" si="3"/>
        <v>0</v>
      </c>
      <c r="J16" s="18">
        <v>0</v>
      </c>
      <c r="K16" s="18">
        <v>0</v>
      </c>
      <c r="L16" s="20">
        <f t="shared" si="4"/>
        <v>0</v>
      </c>
      <c r="M16" s="18">
        <v>0</v>
      </c>
      <c r="N16" s="18">
        <v>0</v>
      </c>
      <c r="O16" s="27">
        <f t="shared" si="5"/>
        <v>0</v>
      </c>
    </row>
    <row r="17" spans="1:15" s="1" customFormat="1" ht="15" customHeight="1" x14ac:dyDescent="0.35">
      <c r="A17" s="3">
        <f t="shared" si="6"/>
        <v>9</v>
      </c>
      <c r="B17" s="5">
        <f t="shared" si="6"/>
        <v>9</v>
      </c>
      <c r="C17" s="17" t="s">
        <v>9</v>
      </c>
      <c r="D17" s="18">
        <f t="shared" si="0"/>
        <v>0</v>
      </c>
      <c r="E17" s="18">
        <f t="shared" si="1"/>
        <v>0</v>
      </c>
      <c r="F17" s="20">
        <f t="shared" si="2"/>
        <v>0</v>
      </c>
      <c r="G17" s="18">
        <v>0</v>
      </c>
      <c r="H17" s="18">
        <v>0</v>
      </c>
      <c r="I17" s="20">
        <f t="shared" si="3"/>
        <v>0</v>
      </c>
      <c r="J17" s="18">
        <v>0</v>
      </c>
      <c r="K17" s="18">
        <v>0</v>
      </c>
      <c r="L17" s="20">
        <f t="shared" si="4"/>
        <v>0</v>
      </c>
      <c r="M17" s="18">
        <v>0</v>
      </c>
      <c r="N17" s="18">
        <v>0</v>
      </c>
      <c r="O17" s="27">
        <f t="shared" si="5"/>
        <v>0</v>
      </c>
    </row>
    <row r="18" spans="1:15" s="1" customFormat="1" ht="15" customHeight="1" x14ac:dyDescent="0.35">
      <c r="A18" s="3">
        <f t="shared" si="6"/>
        <v>10</v>
      </c>
      <c r="B18" s="5">
        <f t="shared" si="6"/>
        <v>10</v>
      </c>
      <c r="C18" s="17" t="s">
        <v>10</v>
      </c>
      <c r="D18" s="18">
        <f t="shared" si="0"/>
        <v>0</v>
      </c>
      <c r="E18" s="18">
        <f t="shared" si="1"/>
        <v>0</v>
      </c>
      <c r="F18" s="20">
        <f t="shared" si="2"/>
        <v>0</v>
      </c>
      <c r="G18" s="18">
        <v>0</v>
      </c>
      <c r="H18" s="18">
        <v>0</v>
      </c>
      <c r="I18" s="20">
        <f t="shared" si="3"/>
        <v>0</v>
      </c>
      <c r="J18" s="18">
        <v>0</v>
      </c>
      <c r="K18" s="18">
        <v>0</v>
      </c>
      <c r="L18" s="20">
        <f t="shared" si="4"/>
        <v>0</v>
      </c>
      <c r="M18" s="18">
        <v>0</v>
      </c>
      <c r="N18" s="18">
        <v>0</v>
      </c>
      <c r="O18" s="27">
        <f t="shared" si="5"/>
        <v>0</v>
      </c>
    </row>
    <row r="19" spans="1:15" s="1" customFormat="1" ht="15" customHeight="1" x14ac:dyDescent="0.35">
      <c r="A19" s="3">
        <f t="shared" si="6"/>
        <v>11</v>
      </c>
      <c r="B19" s="5">
        <f t="shared" si="6"/>
        <v>11</v>
      </c>
      <c r="C19" s="17" t="s">
        <v>11</v>
      </c>
      <c r="D19" s="18">
        <f t="shared" si="0"/>
        <v>0</v>
      </c>
      <c r="E19" s="18">
        <f t="shared" si="1"/>
        <v>0</v>
      </c>
      <c r="F19" s="20">
        <f t="shared" si="2"/>
        <v>0</v>
      </c>
      <c r="G19" s="18">
        <v>0</v>
      </c>
      <c r="H19" s="18">
        <v>0</v>
      </c>
      <c r="I19" s="20">
        <f t="shared" si="3"/>
        <v>0</v>
      </c>
      <c r="J19" s="18">
        <v>0</v>
      </c>
      <c r="K19" s="18">
        <v>0</v>
      </c>
      <c r="L19" s="20">
        <f t="shared" si="4"/>
        <v>0</v>
      </c>
      <c r="M19" s="18">
        <v>0</v>
      </c>
      <c r="N19" s="18">
        <v>0</v>
      </c>
      <c r="O19" s="27">
        <f t="shared" si="5"/>
        <v>0</v>
      </c>
    </row>
    <row r="20" spans="1:15" s="1" customFormat="1" ht="15" customHeight="1" x14ac:dyDescent="0.35">
      <c r="A20" s="3">
        <f t="shared" si="6"/>
        <v>12</v>
      </c>
      <c r="B20" s="5">
        <f t="shared" si="6"/>
        <v>12</v>
      </c>
      <c r="C20" s="17" t="s">
        <v>12</v>
      </c>
      <c r="D20" s="18">
        <f t="shared" si="0"/>
        <v>0</v>
      </c>
      <c r="E20" s="18">
        <f t="shared" si="1"/>
        <v>0</v>
      </c>
      <c r="F20" s="20">
        <f t="shared" si="2"/>
        <v>0</v>
      </c>
      <c r="G20" s="18">
        <v>0</v>
      </c>
      <c r="H20" s="18">
        <v>0</v>
      </c>
      <c r="I20" s="20">
        <f t="shared" si="3"/>
        <v>0</v>
      </c>
      <c r="J20" s="18">
        <v>0</v>
      </c>
      <c r="K20" s="18">
        <v>0</v>
      </c>
      <c r="L20" s="20">
        <f t="shared" si="4"/>
        <v>0</v>
      </c>
      <c r="M20" s="18">
        <v>0</v>
      </c>
      <c r="N20" s="18">
        <v>0</v>
      </c>
      <c r="O20" s="27">
        <f t="shared" si="5"/>
        <v>0</v>
      </c>
    </row>
    <row r="21" spans="1:15" s="1" customFormat="1" ht="15" customHeight="1" x14ac:dyDescent="0.35">
      <c r="A21" s="3">
        <f t="shared" si="6"/>
        <v>13</v>
      </c>
      <c r="B21" s="5">
        <f t="shared" si="6"/>
        <v>13</v>
      </c>
      <c r="C21" s="17" t="s">
        <v>13</v>
      </c>
      <c r="D21" s="18">
        <f t="shared" si="0"/>
        <v>0</v>
      </c>
      <c r="E21" s="18">
        <f t="shared" si="1"/>
        <v>0</v>
      </c>
      <c r="F21" s="20">
        <f t="shared" si="2"/>
        <v>0</v>
      </c>
      <c r="G21" s="18">
        <v>0</v>
      </c>
      <c r="H21" s="18">
        <v>0</v>
      </c>
      <c r="I21" s="20">
        <f t="shared" si="3"/>
        <v>0</v>
      </c>
      <c r="J21" s="18">
        <v>0</v>
      </c>
      <c r="K21" s="18">
        <v>0</v>
      </c>
      <c r="L21" s="20">
        <f t="shared" si="4"/>
        <v>0</v>
      </c>
      <c r="M21" s="18">
        <v>0</v>
      </c>
      <c r="N21" s="18">
        <v>0</v>
      </c>
      <c r="O21" s="27">
        <f t="shared" si="5"/>
        <v>0</v>
      </c>
    </row>
    <row r="22" spans="1:15" s="1" customFormat="1" ht="15" customHeight="1" x14ac:dyDescent="0.35">
      <c r="A22" s="3">
        <f t="shared" si="6"/>
        <v>14</v>
      </c>
      <c r="B22" s="5">
        <f t="shared" si="6"/>
        <v>14</v>
      </c>
      <c r="C22" s="17" t="s">
        <v>14</v>
      </c>
      <c r="D22" s="18">
        <f t="shared" si="0"/>
        <v>0</v>
      </c>
      <c r="E22" s="18">
        <f t="shared" si="1"/>
        <v>0</v>
      </c>
      <c r="F22" s="20">
        <f t="shared" si="2"/>
        <v>0</v>
      </c>
      <c r="G22" s="18">
        <v>0</v>
      </c>
      <c r="H22" s="18">
        <v>0</v>
      </c>
      <c r="I22" s="20">
        <f t="shared" si="3"/>
        <v>0</v>
      </c>
      <c r="J22" s="18">
        <v>0</v>
      </c>
      <c r="K22" s="18">
        <v>0</v>
      </c>
      <c r="L22" s="20">
        <f t="shared" si="4"/>
        <v>0</v>
      </c>
      <c r="M22" s="18">
        <v>0</v>
      </c>
      <c r="N22" s="18">
        <v>0</v>
      </c>
      <c r="O22" s="27">
        <f t="shared" si="5"/>
        <v>0</v>
      </c>
    </row>
    <row r="23" spans="1:15" s="1" customFormat="1" ht="15" customHeight="1" x14ac:dyDescent="0.35">
      <c r="A23" s="3">
        <f t="shared" si="6"/>
        <v>15</v>
      </c>
      <c r="B23" s="5">
        <f t="shared" si="6"/>
        <v>15</v>
      </c>
      <c r="C23" s="17" t="s">
        <v>15</v>
      </c>
      <c r="D23" s="18">
        <f t="shared" si="0"/>
        <v>0</v>
      </c>
      <c r="E23" s="18">
        <f t="shared" si="1"/>
        <v>0</v>
      </c>
      <c r="F23" s="20">
        <f t="shared" si="2"/>
        <v>0</v>
      </c>
      <c r="G23" s="18">
        <v>0</v>
      </c>
      <c r="H23" s="18">
        <v>0</v>
      </c>
      <c r="I23" s="20">
        <f t="shared" si="3"/>
        <v>0</v>
      </c>
      <c r="J23" s="18">
        <v>0</v>
      </c>
      <c r="K23" s="18">
        <v>0</v>
      </c>
      <c r="L23" s="20">
        <f t="shared" si="4"/>
        <v>0</v>
      </c>
      <c r="M23" s="18">
        <v>0</v>
      </c>
      <c r="N23" s="18">
        <v>0</v>
      </c>
      <c r="O23" s="27">
        <f t="shared" si="5"/>
        <v>0</v>
      </c>
    </row>
    <row r="24" spans="1:15" s="1" customFormat="1" ht="15" customHeight="1" x14ac:dyDescent="0.35">
      <c r="A24" s="3">
        <f t="shared" si="6"/>
        <v>16</v>
      </c>
      <c r="B24" s="5">
        <f t="shared" si="6"/>
        <v>16</v>
      </c>
      <c r="C24" s="17" t="s">
        <v>16</v>
      </c>
      <c r="D24" s="18">
        <f t="shared" si="0"/>
        <v>0</v>
      </c>
      <c r="E24" s="18">
        <f t="shared" si="1"/>
        <v>0</v>
      </c>
      <c r="F24" s="20">
        <f t="shared" si="2"/>
        <v>0</v>
      </c>
      <c r="G24" s="18">
        <v>0</v>
      </c>
      <c r="H24" s="18">
        <v>0</v>
      </c>
      <c r="I24" s="20">
        <f t="shared" si="3"/>
        <v>0</v>
      </c>
      <c r="J24" s="18">
        <v>0</v>
      </c>
      <c r="K24" s="18">
        <v>0</v>
      </c>
      <c r="L24" s="20">
        <f t="shared" si="4"/>
        <v>0</v>
      </c>
      <c r="M24" s="18">
        <v>0</v>
      </c>
      <c r="N24" s="18">
        <v>0</v>
      </c>
      <c r="O24" s="27">
        <f t="shared" si="5"/>
        <v>0</v>
      </c>
    </row>
    <row r="25" spans="1:15" s="1" customFormat="1" ht="15" customHeight="1" x14ac:dyDescent="0.35">
      <c r="A25" s="3">
        <f t="shared" si="6"/>
        <v>17</v>
      </c>
      <c r="B25" s="5">
        <f t="shared" si="6"/>
        <v>17</v>
      </c>
      <c r="C25" s="17" t="s">
        <v>17</v>
      </c>
      <c r="D25" s="18">
        <f t="shared" si="0"/>
        <v>0</v>
      </c>
      <c r="E25" s="18">
        <f t="shared" si="1"/>
        <v>0</v>
      </c>
      <c r="F25" s="20">
        <f t="shared" si="2"/>
        <v>0</v>
      </c>
      <c r="G25" s="18">
        <v>0</v>
      </c>
      <c r="H25" s="18">
        <v>0</v>
      </c>
      <c r="I25" s="20">
        <f t="shared" si="3"/>
        <v>0</v>
      </c>
      <c r="J25" s="18">
        <v>0</v>
      </c>
      <c r="K25" s="18">
        <v>0</v>
      </c>
      <c r="L25" s="20">
        <f t="shared" si="4"/>
        <v>0</v>
      </c>
      <c r="M25" s="18">
        <v>0</v>
      </c>
      <c r="N25" s="18">
        <v>0</v>
      </c>
      <c r="O25" s="27">
        <f t="shared" si="5"/>
        <v>0</v>
      </c>
    </row>
    <row r="26" spans="1:15" s="1" customFormat="1" ht="15" customHeight="1" x14ac:dyDescent="0.35">
      <c r="A26" s="3">
        <f t="shared" ref="A26:B41" si="7">A25+1</f>
        <v>18</v>
      </c>
      <c r="B26" s="5">
        <f t="shared" si="7"/>
        <v>18</v>
      </c>
      <c r="C26" s="17" t="s">
        <v>18</v>
      </c>
      <c r="D26" s="18">
        <f t="shared" si="0"/>
        <v>0</v>
      </c>
      <c r="E26" s="18">
        <f t="shared" si="1"/>
        <v>0</v>
      </c>
      <c r="F26" s="20">
        <f t="shared" si="2"/>
        <v>0</v>
      </c>
      <c r="G26" s="18">
        <v>0</v>
      </c>
      <c r="H26" s="18">
        <v>0</v>
      </c>
      <c r="I26" s="20">
        <f t="shared" si="3"/>
        <v>0</v>
      </c>
      <c r="J26" s="18">
        <v>0</v>
      </c>
      <c r="K26" s="18">
        <v>0</v>
      </c>
      <c r="L26" s="20">
        <f t="shared" si="4"/>
        <v>0</v>
      </c>
      <c r="M26" s="18">
        <v>0</v>
      </c>
      <c r="N26" s="18">
        <v>0</v>
      </c>
      <c r="O26" s="27">
        <f t="shared" si="5"/>
        <v>0</v>
      </c>
    </row>
    <row r="27" spans="1:15" s="1" customFormat="1" ht="15" customHeight="1" x14ac:dyDescent="0.35">
      <c r="A27" s="3">
        <f t="shared" si="7"/>
        <v>19</v>
      </c>
      <c r="B27" s="5">
        <f t="shared" si="7"/>
        <v>19</v>
      </c>
      <c r="C27" s="17" t="s">
        <v>19</v>
      </c>
      <c r="D27" s="18">
        <f t="shared" si="0"/>
        <v>0</v>
      </c>
      <c r="E27" s="18">
        <f t="shared" si="1"/>
        <v>0</v>
      </c>
      <c r="F27" s="20">
        <f t="shared" si="2"/>
        <v>0</v>
      </c>
      <c r="G27" s="18">
        <v>0</v>
      </c>
      <c r="H27" s="18">
        <v>0</v>
      </c>
      <c r="I27" s="20">
        <f t="shared" si="3"/>
        <v>0</v>
      </c>
      <c r="J27" s="18">
        <v>0</v>
      </c>
      <c r="K27" s="18">
        <v>0</v>
      </c>
      <c r="L27" s="20">
        <f t="shared" si="4"/>
        <v>0</v>
      </c>
      <c r="M27" s="18">
        <v>0</v>
      </c>
      <c r="N27" s="18">
        <v>0</v>
      </c>
      <c r="O27" s="27">
        <f t="shared" si="5"/>
        <v>0</v>
      </c>
    </row>
    <row r="28" spans="1:15" s="1" customFormat="1" ht="15" customHeight="1" x14ac:dyDescent="0.35">
      <c r="A28" s="3">
        <f t="shared" si="7"/>
        <v>20</v>
      </c>
      <c r="B28" s="5">
        <f t="shared" si="7"/>
        <v>20</v>
      </c>
      <c r="C28" s="17" t="s">
        <v>20</v>
      </c>
      <c r="D28" s="18">
        <f t="shared" si="0"/>
        <v>0</v>
      </c>
      <c r="E28" s="18">
        <f t="shared" si="1"/>
        <v>0</v>
      </c>
      <c r="F28" s="20">
        <f t="shared" si="2"/>
        <v>0</v>
      </c>
      <c r="G28" s="18">
        <v>0</v>
      </c>
      <c r="H28" s="18">
        <v>0</v>
      </c>
      <c r="I28" s="20">
        <f t="shared" si="3"/>
        <v>0</v>
      </c>
      <c r="J28" s="18">
        <v>0</v>
      </c>
      <c r="K28" s="18">
        <v>0</v>
      </c>
      <c r="L28" s="20">
        <f t="shared" si="4"/>
        <v>0</v>
      </c>
      <c r="M28" s="18">
        <v>0</v>
      </c>
      <c r="N28" s="18">
        <v>0</v>
      </c>
      <c r="O28" s="27">
        <f t="shared" si="5"/>
        <v>0</v>
      </c>
    </row>
    <row r="29" spans="1:15" s="1" customFormat="1" ht="15" customHeight="1" x14ac:dyDescent="0.35">
      <c r="A29" s="3">
        <f t="shared" si="7"/>
        <v>21</v>
      </c>
      <c r="B29" s="5">
        <f t="shared" si="7"/>
        <v>21</v>
      </c>
      <c r="C29" s="17" t="s">
        <v>21</v>
      </c>
      <c r="D29" s="18">
        <f t="shared" si="0"/>
        <v>0</v>
      </c>
      <c r="E29" s="18">
        <f t="shared" si="1"/>
        <v>0</v>
      </c>
      <c r="F29" s="20">
        <f t="shared" ref="F29:F46" si="8">IFERROR((E29/D29)*100,0)</f>
        <v>0</v>
      </c>
      <c r="G29" s="18">
        <v>0</v>
      </c>
      <c r="H29" s="18">
        <v>0</v>
      </c>
      <c r="I29" s="20">
        <f t="shared" ref="I29:I46" si="9">IFERROR((H29/G29)*100,0)</f>
        <v>0</v>
      </c>
      <c r="J29" s="18">
        <v>0</v>
      </c>
      <c r="K29" s="18">
        <v>0</v>
      </c>
      <c r="L29" s="20">
        <f t="shared" ref="L29:L46" si="10">IFERROR((K29/J29)*100,0)</f>
        <v>0</v>
      </c>
      <c r="M29" s="18">
        <v>0</v>
      </c>
      <c r="N29" s="18">
        <v>0</v>
      </c>
      <c r="O29" s="27">
        <f t="shared" ref="O29:O46" si="11">IFERROR((N29/M29)*100,0)</f>
        <v>0</v>
      </c>
    </row>
    <row r="30" spans="1:15" s="1" customFormat="1" ht="15" customHeight="1" x14ac:dyDescent="0.35">
      <c r="A30" s="3">
        <f t="shared" si="7"/>
        <v>22</v>
      </c>
      <c r="B30" s="5">
        <f t="shared" si="7"/>
        <v>22</v>
      </c>
      <c r="C30" s="17" t="s">
        <v>22</v>
      </c>
      <c r="D30" s="18">
        <f t="shared" si="0"/>
        <v>0</v>
      </c>
      <c r="E30" s="18">
        <f t="shared" si="1"/>
        <v>0</v>
      </c>
      <c r="F30" s="20">
        <f t="shared" si="8"/>
        <v>0</v>
      </c>
      <c r="G30" s="18">
        <v>0</v>
      </c>
      <c r="H30" s="18">
        <v>0</v>
      </c>
      <c r="I30" s="20">
        <f t="shared" si="9"/>
        <v>0</v>
      </c>
      <c r="J30" s="18">
        <v>0</v>
      </c>
      <c r="K30" s="18">
        <v>0</v>
      </c>
      <c r="L30" s="20">
        <f t="shared" si="10"/>
        <v>0</v>
      </c>
      <c r="M30" s="18">
        <v>0</v>
      </c>
      <c r="N30" s="18">
        <v>0</v>
      </c>
      <c r="O30" s="27">
        <f t="shared" si="11"/>
        <v>0</v>
      </c>
    </row>
    <row r="31" spans="1:15" s="1" customFormat="1" ht="15" customHeight="1" x14ac:dyDescent="0.35">
      <c r="A31" s="3">
        <f t="shared" si="7"/>
        <v>23</v>
      </c>
      <c r="B31" s="5">
        <f t="shared" si="7"/>
        <v>23</v>
      </c>
      <c r="C31" s="17" t="s">
        <v>23</v>
      </c>
      <c r="D31" s="18">
        <f t="shared" si="0"/>
        <v>0</v>
      </c>
      <c r="E31" s="18">
        <f t="shared" si="1"/>
        <v>0</v>
      </c>
      <c r="F31" s="20">
        <f t="shared" si="8"/>
        <v>0</v>
      </c>
      <c r="G31" s="18">
        <v>0</v>
      </c>
      <c r="H31" s="18">
        <v>0</v>
      </c>
      <c r="I31" s="20">
        <f t="shared" si="9"/>
        <v>0</v>
      </c>
      <c r="J31" s="18">
        <v>0</v>
      </c>
      <c r="K31" s="18">
        <v>0</v>
      </c>
      <c r="L31" s="20">
        <f t="shared" si="10"/>
        <v>0</v>
      </c>
      <c r="M31" s="18">
        <v>0</v>
      </c>
      <c r="N31" s="18">
        <v>0</v>
      </c>
      <c r="O31" s="27">
        <f t="shared" si="11"/>
        <v>0</v>
      </c>
    </row>
    <row r="32" spans="1:15" s="1" customFormat="1" ht="15" customHeight="1" x14ac:dyDescent="0.35">
      <c r="A32" s="3">
        <f t="shared" si="7"/>
        <v>24</v>
      </c>
      <c r="B32" s="5">
        <f t="shared" si="7"/>
        <v>24</v>
      </c>
      <c r="C32" s="17" t="s">
        <v>24</v>
      </c>
      <c r="D32" s="18">
        <f t="shared" si="0"/>
        <v>0</v>
      </c>
      <c r="E32" s="18">
        <f t="shared" si="1"/>
        <v>0</v>
      </c>
      <c r="F32" s="20">
        <f t="shared" si="8"/>
        <v>0</v>
      </c>
      <c r="G32" s="18">
        <v>0</v>
      </c>
      <c r="H32" s="18">
        <v>0</v>
      </c>
      <c r="I32" s="20">
        <f t="shared" si="9"/>
        <v>0</v>
      </c>
      <c r="J32" s="18">
        <v>0</v>
      </c>
      <c r="K32" s="18">
        <v>0</v>
      </c>
      <c r="L32" s="20">
        <f t="shared" si="10"/>
        <v>0</v>
      </c>
      <c r="M32" s="18">
        <v>0</v>
      </c>
      <c r="N32" s="18">
        <v>0</v>
      </c>
      <c r="O32" s="27">
        <f t="shared" si="11"/>
        <v>0</v>
      </c>
    </row>
    <row r="33" spans="1:15" s="1" customFormat="1" ht="15" customHeight="1" x14ac:dyDescent="0.35">
      <c r="A33" s="3">
        <f t="shared" si="7"/>
        <v>25</v>
      </c>
      <c r="B33" s="5">
        <f t="shared" si="7"/>
        <v>25</v>
      </c>
      <c r="C33" s="17" t="s">
        <v>25</v>
      </c>
      <c r="D33" s="18">
        <f t="shared" si="0"/>
        <v>0</v>
      </c>
      <c r="E33" s="18">
        <f t="shared" si="1"/>
        <v>0</v>
      </c>
      <c r="F33" s="20">
        <f t="shared" si="8"/>
        <v>0</v>
      </c>
      <c r="G33" s="18">
        <v>0</v>
      </c>
      <c r="H33" s="18">
        <v>0</v>
      </c>
      <c r="I33" s="20">
        <f t="shared" si="9"/>
        <v>0</v>
      </c>
      <c r="J33" s="18">
        <v>0</v>
      </c>
      <c r="K33" s="18">
        <v>0</v>
      </c>
      <c r="L33" s="20">
        <f t="shared" si="10"/>
        <v>0</v>
      </c>
      <c r="M33" s="18">
        <v>0</v>
      </c>
      <c r="N33" s="18">
        <v>0</v>
      </c>
      <c r="O33" s="27">
        <f t="shared" si="11"/>
        <v>0</v>
      </c>
    </row>
    <row r="34" spans="1:15" s="1" customFormat="1" ht="15" customHeight="1" x14ac:dyDescent="0.35">
      <c r="A34" s="3">
        <f t="shared" si="7"/>
        <v>26</v>
      </c>
      <c r="B34" s="5">
        <f t="shared" si="7"/>
        <v>26</v>
      </c>
      <c r="C34" s="17" t="s">
        <v>26</v>
      </c>
      <c r="D34" s="18">
        <f t="shared" si="0"/>
        <v>0</v>
      </c>
      <c r="E34" s="18">
        <f t="shared" si="1"/>
        <v>0</v>
      </c>
      <c r="F34" s="20">
        <f t="shared" si="8"/>
        <v>0</v>
      </c>
      <c r="G34" s="18">
        <v>0</v>
      </c>
      <c r="H34" s="18">
        <v>0</v>
      </c>
      <c r="I34" s="20">
        <f t="shared" si="9"/>
        <v>0</v>
      </c>
      <c r="J34" s="18">
        <v>0</v>
      </c>
      <c r="K34" s="18">
        <v>0</v>
      </c>
      <c r="L34" s="20">
        <f t="shared" si="10"/>
        <v>0</v>
      </c>
      <c r="M34" s="18">
        <v>0</v>
      </c>
      <c r="N34" s="18">
        <v>0</v>
      </c>
      <c r="O34" s="27">
        <f t="shared" si="11"/>
        <v>0</v>
      </c>
    </row>
    <row r="35" spans="1:15" s="1" customFormat="1" ht="15" customHeight="1" x14ac:dyDescent="0.35">
      <c r="A35" s="3">
        <f t="shared" si="7"/>
        <v>27</v>
      </c>
      <c r="B35" s="5">
        <f t="shared" si="7"/>
        <v>27</v>
      </c>
      <c r="C35" s="17" t="s">
        <v>27</v>
      </c>
      <c r="D35" s="18">
        <f t="shared" si="0"/>
        <v>0</v>
      </c>
      <c r="E35" s="18">
        <f t="shared" si="1"/>
        <v>0</v>
      </c>
      <c r="F35" s="20">
        <f t="shared" si="8"/>
        <v>0</v>
      </c>
      <c r="G35" s="18">
        <v>0</v>
      </c>
      <c r="H35" s="18">
        <v>0</v>
      </c>
      <c r="I35" s="20">
        <f t="shared" si="9"/>
        <v>0</v>
      </c>
      <c r="J35" s="18">
        <v>0</v>
      </c>
      <c r="K35" s="18">
        <v>0</v>
      </c>
      <c r="L35" s="20">
        <f t="shared" si="10"/>
        <v>0</v>
      </c>
      <c r="M35" s="18">
        <v>0</v>
      </c>
      <c r="N35" s="18">
        <v>0</v>
      </c>
      <c r="O35" s="27">
        <f t="shared" si="11"/>
        <v>0</v>
      </c>
    </row>
    <row r="36" spans="1:15" s="1" customFormat="1" ht="15" customHeight="1" x14ac:dyDescent="0.35">
      <c r="A36" s="3">
        <f t="shared" si="7"/>
        <v>28</v>
      </c>
      <c r="B36" s="5">
        <f t="shared" si="7"/>
        <v>28</v>
      </c>
      <c r="C36" s="17" t="s">
        <v>28</v>
      </c>
      <c r="D36" s="18">
        <f t="shared" si="0"/>
        <v>0</v>
      </c>
      <c r="E36" s="18">
        <f t="shared" si="1"/>
        <v>0</v>
      </c>
      <c r="F36" s="20">
        <f t="shared" si="8"/>
        <v>0</v>
      </c>
      <c r="G36" s="18">
        <v>0</v>
      </c>
      <c r="H36" s="18">
        <v>0</v>
      </c>
      <c r="I36" s="20">
        <f t="shared" si="9"/>
        <v>0</v>
      </c>
      <c r="J36" s="18">
        <v>0</v>
      </c>
      <c r="K36" s="18">
        <v>0</v>
      </c>
      <c r="L36" s="20">
        <f t="shared" si="10"/>
        <v>0</v>
      </c>
      <c r="M36" s="18">
        <v>0</v>
      </c>
      <c r="N36" s="18">
        <v>0</v>
      </c>
      <c r="O36" s="27">
        <f t="shared" si="11"/>
        <v>0</v>
      </c>
    </row>
    <row r="37" spans="1:15" s="1" customFormat="1" ht="15" customHeight="1" x14ac:dyDescent="0.35">
      <c r="A37" s="3">
        <f t="shared" si="7"/>
        <v>29</v>
      </c>
      <c r="B37" s="5">
        <f t="shared" si="7"/>
        <v>29</v>
      </c>
      <c r="C37" s="17" t="s">
        <v>41</v>
      </c>
      <c r="D37" s="18">
        <f t="shared" si="0"/>
        <v>0</v>
      </c>
      <c r="E37" s="18">
        <f t="shared" si="1"/>
        <v>0</v>
      </c>
      <c r="F37" s="20">
        <f t="shared" si="8"/>
        <v>0</v>
      </c>
      <c r="G37" s="18">
        <v>0</v>
      </c>
      <c r="H37" s="18">
        <v>0</v>
      </c>
      <c r="I37" s="20">
        <f t="shared" si="9"/>
        <v>0</v>
      </c>
      <c r="J37" s="18">
        <v>0</v>
      </c>
      <c r="K37" s="18">
        <v>0</v>
      </c>
      <c r="L37" s="20">
        <f t="shared" si="10"/>
        <v>0</v>
      </c>
      <c r="M37" s="18">
        <v>0</v>
      </c>
      <c r="N37" s="18">
        <v>0</v>
      </c>
      <c r="O37" s="27">
        <f t="shared" si="11"/>
        <v>0</v>
      </c>
    </row>
    <row r="38" spans="1:15" s="1" customFormat="1" ht="15" customHeight="1" x14ac:dyDescent="0.35">
      <c r="A38" s="3">
        <f t="shared" si="7"/>
        <v>30</v>
      </c>
      <c r="B38" s="5">
        <f t="shared" si="7"/>
        <v>30</v>
      </c>
      <c r="C38" s="17" t="s">
        <v>29</v>
      </c>
      <c r="D38" s="18">
        <f t="shared" si="0"/>
        <v>0</v>
      </c>
      <c r="E38" s="18">
        <f t="shared" si="1"/>
        <v>0</v>
      </c>
      <c r="F38" s="20">
        <f t="shared" si="8"/>
        <v>0</v>
      </c>
      <c r="G38" s="18">
        <v>0</v>
      </c>
      <c r="H38" s="18">
        <v>0</v>
      </c>
      <c r="I38" s="20">
        <f t="shared" si="9"/>
        <v>0</v>
      </c>
      <c r="J38" s="18">
        <v>0</v>
      </c>
      <c r="K38" s="18">
        <v>0</v>
      </c>
      <c r="L38" s="20">
        <f t="shared" si="10"/>
        <v>0</v>
      </c>
      <c r="M38" s="18">
        <v>0</v>
      </c>
      <c r="N38" s="18">
        <v>0</v>
      </c>
      <c r="O38" s="27">
        <f t="shared" si="11"/>
        <v>0</v>
      </c>
    </row>
    <row r="39" spans="1:15" s="1" customFormat="1" ht="15" customHeight="1" x14ac:dyDescent="0.35">
      <c r="A39" s="3">
        <f t="shared" si="7"/>
        <v>31</v>
      </c>
      <c r="B39" s="5">
        <f t="shared" si="7"/>
        <v>31</v>
      </c>
      <c r="C39" s="17" t="s">
        <v>30</v>
      </c>
      <c r="D39" s="18">
        <f t="shared" si="0"/>
        <v>0</v>
      </c>
      <c r="E39" s="18">
        <f t="shared" si="1"/>
        <v>0</v>
      </c>
      <c r="F39" s="20">
        <f t="shared" si="8"/>
        <v>0</v>
      </c>
      <c r="G39" s="18">
        <v>0</v>
      </c>
      <c r="H39" s="18">
        <v>0</v>
      </c>
      <c r="I39" s="20">
        <f t="shared" si="9"/>
        <v>0</v>
      </c>
      <c r="J39" s="18">
        <v>0</v>
      </c>
      <c r="K39" s="18">
        <v>0</v>
      </c>
      <c r="L39" s="20">
        <f t="shared" si="10"/>
        <v>0</v>
      </c>
      <c r="M39" s="18">
        <v>0</v>
      </c>
      <c r="N39" s="18">
        <v>0</v>
      </c>
      <c r="O39" s="27">
        <f t="shared" si="11"/>
        <v>0</v>
      </c>
    </row>
    <row r="40" spans="1:15" s="1" customFormat="1" ht="15" customHeight="1" x14ac:dyDescent="0.35">
      <c r="A40" s="3">
        <f t="shared" si="7"/>
        <v>32</v>
      </c>
      <c r="B40" s="5">
        <f t="shared" si="7"/>
        <v>32</v>
      </c>
      <c r="C40" s="17" t="s">
        <v>31</v>
      </c>
      <c r="D40" s="18">
        <f t="shared" si="0"/>
        <v>0</v>
      </c>
      <c r="E40" s="18">
        <f t="shared" si="1"/>
        <v>0</v>
      </c>
      <c r="F40" s="20">
        <f t="shared" si="8"/>
        <v>0</v>
      </c>
      <c r="G40" s="18">
        <v>0</v>
      </c>
      <c r="H40" s="18">
        <v>0</v>
      </c>
      <c r="I40" s="20">
        <f t="shared" si="9"/>
        <v>0</v>
      </c>
      <c r="J40" s="18">
        <v>0</v>
      </c>
      <c r="K40" s="18">
        <v>0</v>
      </c>
      <c r="L40" s="20">
        <f t="shared" si="10"/>
        <v>0</v>
      </c>
      <c r="M40" s="18">
        <v>0</v>
      </c>
      <c r="N40" s="18">
        <v>0</v>
      </c>
      <c r="O40" s="27">
        <f t="shared" si="11"/>
        <v>0</v>
      </c>
    </row>
    <row r="41" spans="1:15" s="1" customFormat="1" ht="15" customHeight="1" x14ac:dyDescent="0.35">
      <c r="A41" s="3">
        <f t="shared" si="7"/>
        <v>33</v>
      </c>
      <c r="B41" s="5">
        <f t="shared" si="7"/>
        <v>33</v>
      </c>
      <c r="C41" s="17" t="s">
        <v>32</v>
      </c>
      <c r="D41" s="18">
        <f t="shared" si="0"/>
        <v>0</v>
      </c>
      <c r="E41" s="18">
        <f t="shared" si="1"/>
        <v>0</v>
      </c>
      <c r="F41" s="20">
        <f t="shared" si="8"/>
        <v>0</v>
      </c>
      <c r="G41" s="18">
        <v>0</v>
      </c>
      <c r="H41" s="18">
        <v>0</v>
      </c>
      <c r="I41" s="20">
        <f t="shared" si="9"/>
        <v>0</v>
      </c>
      <c r="J41" s="18">
        <v>0</v>
      </c>
      <c r="K41" s="18">
        <v>0</v>
      </c>
      <c r="L41" s="20">
        <f t="shared" si="10"/>
        <v>0</v>
      </c>
      <c r="M41" s="18">
        <v>0</v>
      </c>
      <c r="N41" s="18">
        <v>0</v>
      </c>
      <c r="O41" s="27">
        <f t="shared" si="11"/>
        <v>0</v>
      </c>
    </row>
    <row r="42" spans="1:15" s="1" customFormat="1" ht="15" customHeight="1" x14ac:dyDescent="0.35">
      <c r="A42" s="3">
        <f t="shared" ref="A42:B46" si="12">A41+1</f>
        <v>34</v>
      </c>
      <c r="B42" s="5">
        <f t="shared" si="12"/>
        <v>34</v>
      </c>
      <c r="C42" s="17" t="s">
        <v>33</v>
      </c>
      <c r="D42" s="18">
        <f t="shared" si="0"/>
        <v>0</v>
      </c>
      <c r="E42" s="18">
        <f t="shared" si="1"/>
        <v>0</v>
      </c>
      <c r="F42" s="20">
        <f t="shared" si="8"/>
        <v>0</v>
      </c>
      <c r="G42" s="18">
        <v>0</v>
      </c>
      <c r="H42" s="18">
        <v>0</v>
      </c>
      <c r="I42" s="20">
        <f t="shared" si="9"/>
        <v>0</v>
      </c>
      <c r="J42" s="18">
        <v>0</v>
      </c>
      <c r="K42" s="18">
        <v>0</v>
      </c>
      <c r="L42" s="20">
        <f t="shared" si="10"/>
        <v>0</v>
      </c>
      <c r="M42" s="18">
        <v>0</v>
      </c>
      <c r="N42" s="18">
        <v>0</v>
      </c>
      <c r="O42" s="27">
        <f t="shared" si="11"/>
        <v>0</v>
      </c>
    </row>
    <row r="43" spans="1:15" s="1" customFormat="1" ht="15" customHeight="1" x14ac:dyDescent="0.35">
      <c r="A43" s="3">
        <f t="shared" si="12"/>
        <v>35</v>
      </c>
      <c r="B43" s="5">
        <f t="shared" si="12"/>
        <v>35</v>
      </c>
      <c r="C43" s="17" t="s">
        <v>34</v>
      </c>
      <c r="D43" s="18">
        <f t="shared" si="0"/>
        <v>0</v>
      </c>
      <c r="E43" s="18">
        <f t="shared" si="1"/>
        <v>0</v>
      </c>
      <c r="F43" s="20">
        <f t="shared" si="8"/>
        <v>0</v>
      </c>
      <c r="G43" s="18">
        <v>0</v>
      </c>
      <c r="H43" s="18">
        <v>0</v>
      </c>
      <c r="I43" s="20">
        <f t="shared" si="9"/>
        <v>0</v>
      </c>
      <c r="J43" s="18">
        <v>0</v>
      </c>
      <c r="K43" s="18">
        <v>0</v>
      </c>
      <c r="L43" s="20">
        <f t="shared" si="10"/>
        <v>0</v>
      </c>
      <c r="M43" s="18">
        <v>0</v>
      </c>
      <c r="N43" s="18">
        <v>0</v>
      </c>
      <c r="O43" s="27">
        <f t="shared" si="11"/>
        <v>0</v>
      </c>
    </row>
    <row r="44" spans="1:15" s="1" customFormat="1" ht="15" customHeight="1" x14ac:dyDescent="0.35">
      <c r="A44" s="3">
        <f t="shared" si="12"/>
        <v>36</v>
      </c>
      <c r="B44" s="5">
        <f t="shared" si="12"/>
        <v>36</v>
      </c>
      <c r="C44" s="17" t="s">
        <v>35</v>
      </c>
      <c r="D44" s="18">
        <f t="shared" si="0"/>
        <v>0</v>
      </c>
      <c r="E44" s="18">
        <f t="shared" si="1"/>
        <v>0</v>
      </c>
      <c r="F44" s="20">
        <f t="shared" si="8"/>
        <v>0</v>
      </c>
      <c r="G44" s="18">
        <v>0</v>
      </c>
      <c r="H44" s="18">
        <v>0</v>
      </c>
      <c r="I44" s="20">
        <f t="shared" si="9"/>
        <v>0</v>
      </c>
      <c r="J44" s="18">
        <v>0</v>
      </c>
      <c r="K44" s="18">
        <v>0</v>
      </c>
      <c r="L44" s="20">
        <f t="shared" si="10"/>
        <v>0</v>
      </c>
      <c r="M44" s="18">
        <v>0</v>
      </c>
      <c r="N44" s="18">
        <v>0</v>
      </c>
      <c r="O44" s="27">
        <f t="shared" si="11"/>
        <v>0</v>
      </c>
    </row>
    <row r="45" spans="1:15" s="1" customFormat="1" ht="15" customHeight="1" x14ac:dyDescent="0.35">
      <c r="A45" s="3">
        <f t="shared" si="12"/>
        <v>37</v>
      </c>
      <c r="B45" s="5">
        <f t="shared" si="12"/>
        <v>37</v>
      </c>
      <c r="C45" s="17" t="s">
        <v>36</v>
      </c>
      <c r="D45" s="18">
        <f t="shared" si="0"/>
        <v>0</v>
      </c>
      <c r="E45" s="18">
        <f t="shared" si="1"/>
        <v>0</v>
      </c>
      <c r="F45" s="20">
        <f t="shared" si="8"/>
        <v>0</v>
      </c>
      <c r="G45" s="18">
        <v>0</v>
      </c>
      <c r="H45" s="18">
        <v>0</v>
      </c>
      <c r="I45" s="20">
        <f t="shared" si="9"/>
        <v>0</v>
      </c>
      <c r="J45" s="18">
        <v>0</v>
      </c>
      <c r="K45" s="18">
        <v>0</v>
      </c>
      <c r="L45" s="20">
        <f t="shared" si="10"/>
        <v>0</v>
      </c>
      <c r="M45" s="18">
        <v>0</v>
      </c>
      <c r="N45" s="18">
        <v>0</v>
      </c>
      <c r="O45" s="27">
        <f t="shared" si="11"/>
        <v>0</v>
      </c>
    </row>
    <row r="46" spans="1:15" s="1" customFormat="1" ht="15" customHeight="1" thickBot="1" x14ac:dyDescent="0.4">
      <c r="A46" s="28">
        <f t="shared" si="12"/>
        <v>38</v>
      </c>
      <c r="B46" s="29">
        <f t="shared" si="12"/>
        <v>38</v>
      </c>
      <c r="C46" s="30" t="s">
        <v>37</v>
      </c>
      <c r="D46" s="31">
        <f t="shared" si="0"/>
        <v>0</v>
      </c>
      <c r="E46" s="31">
        <f t="shared" si="1"/>
        <v>0</v>
      </c>
      <c r="F46" s="32">
        <f t="shared" si="8"/>
        <v>0</v>
      </c>
      <c r="G46" s="31">
        <v>0</v>
      </c>
      <c r="H46" s="31">
        <v>0</v>
      </c>
      <c r="I46" s="32">
        <f t="shared" si="9"/>
        <v>0</v>
      </c>
      <c r="J46" s="31">
        <v>0</v>
      </c>
      <c r="K46" s="31">
        <v>0</v>
      </c>
      <c r="L46" s="32">
        <f t="shared" si="10"/>
        <v>0</v>
      </c>
      <c r="M46" s="31">
        <v>0</v>
      </c>
      <c r="N46" s="31">
        <v>0</v>
      </c>
      <c r="O46" s="33">
        <f t="shared" si="11"/>
        <v>0</v>
      </c>
    </row>
  </sheetData>
  <autoFilter ref="A7:O46" xr:uid="{00000000-0009-0000-0000-000000000000}"/>
  <mergeCells count="7">
    <mergeCell ref="A6:B6"/>
    <mergeCell ref="J4:L4"/>
    <mergeCell ref="M4:O4"/>
    <mergeCell ref="D4:F4"/>
    <mergeCell ref="G4:I4"/>
    <mergeCell ref="A4:B5"/>
    <mergeCell ref="C4:C5"/>
  </mergeCells>
  <pageMargins left="6.9444444444444448E-2" right="6.9444444444444448E-2" top="0.34722222222222221" bottom="6.9444444444444448E-2" header="6.9444444444444448E-2" footer="0.3"/>
  <pageSetup orientation="portrait" verticalDpi="300" r:id="rId1"/>
  <headerFooter>
    <oddHeader>&amp;L&amp;[Page] of &amp;[Pages]&amp;R&amp;[Date] &amp;[Time]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CE3A-07B2-488B-BD1C-3CBDB44462EA}">
  <dimension ref="D4:D9"/>
  <sheetViews>
    <sheetView tabSelected="1" workbookViewId="0">
      <selection activeCell="R3" sqref="R3"/>
    </sheetView>
  </sheetViews>
  <sheetFormatPr defaultRowHeight="14.5" x14ac:dyDescent="0.35"/>
  <cols>
    <col min="4" max="4" width="15.81640625" style="58" bestFit="1" customWidth="1"/>
  </cols>
  <sheetData>
    <row r="4" spans="4:4" x14ac:dyDescent="0.35">
      <c r="D4" s="58">
        <v>42256597100</v>
      </c>
    </row>
    <row r="5" spans="4:4" x14ac:dyDescent="0.35">
      <c r="D5" s="58">
        <v>3769434000</v>
      </c>
    </row>
    <row r="6" spans="4:4" x14ac:dyDescent="0.35">
      <c r="D6" s="58">
        <v>35073784300</v>
      </c>
    </row>
    <row r="7" spans="4:4" x14ac:dyDescent="0.35">
      <c r="D7" s="58">
        <f>SUM(D4:D6)</f>
        <v>81099815400</v>
      </c>
    </row>
    <row r="8" spans="4:4" x14ac:dyDescent="0.35">
      <c r="D8" s="58">
        <v>92237210800</v>
      </c>
    </row>
    <row r="9" spans="4:4" x14ac:dyDescent="0.35">
      <c r="D9" s="58">
        <f>SUM(D7:D8)</f>
        <v>173337026200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COVID 2020 (All)</vt:lpstr>
      <vt:lpstr>Sheet1</vt:lpstr>
      <vt:lpstr>'COVID 2020 (All)'!Print_Area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Andriyana</dc:creator>
  <cp:lastModifiedBy>BAPPEDA</cp:lastModifiedBy>
  <dcterms:created xsi:type="dcterms:W3CDTF">2015-04-29T02:16:13Z</dcterms:created>
  <dcterms:modified xsi:type="dcterms:W3CDTF">2020-09-07T16:34:39Z</dcterms:modified>
</cp:coreProperties>
</file>